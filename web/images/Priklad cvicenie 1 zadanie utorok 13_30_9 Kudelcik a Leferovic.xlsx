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e5dec196726f774/Dokumenty/Programming/Finkorb/web/images/"/>
    </mc:Choice>
  </mc:AlternateContent>
  <xr:revisionPtr revIDLastSave="8" documentId="13_ncr:1_{706BA3EE-B394-4F94-92FE-872166C78455}" xr6:coauthVersionLast="47" xr6:coauthVersionMax="47" xr10:uidLastSave="{1745DA17-2FE3-475D-A227-218D8A354C38}"/>
  <bookViews>
    <workbookView xWindow="-108" yWindow="-108" windowWidth="23256" windowHeight="12576" xr2:uid="{00000000-000D-0000-FFFF-FFFF00000000}"/>
  </bookViews>
  <sheets>
    <sheet name="Priklad ukazovatele zadanie " sheetId="6" r:id="rId1"/>
    <sheet name="Tabelle1" sheetId="1" r:id="rId2"/>
    <sheet name="Tabelle2" sheetId="2" r:id="rId3"/>
    <sheet name="Tabelle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6" l="1"/>
  <c r="B37" i="6"/>
  <c r="C37" i="6" s="1"/>
  <c r="B32" i="6"/>
  <c r="C29" i="6"/>
  <c r="C30" i="6"/>
  <c r="C31" i="6"/>
  <c r="C32" i="6"/>
  <c r="C33" i="6"/>
  <c r="C34" i="6"/>
  <c r="C35" i="6"/>
  <c r="C36" i="6"/>
  <c r="C38" i="6"/>
  <c r="C39" i="6"/>
  <c r="C40" i="6"/>
  <c r="C41" i="6"/>
  <c r="C42" i="6"/>
  <c r="C43" i="6"/>
  <c r="C44" i="6"/>
  <c r="C45" i="6"/>
  <c r="B46" i="6"/>
  <c r="B45" i="6"/>
  <c r="B44" i="6"/>
  <c r="B43" i="6"/>
  <c r="B39" i="6"/>
  <c r="B40" i="6"/>
  <c r="B38" i="6"/>
  <c r="B36" i="6"/>
  <c r="B35" i="6"/>
  <c r="B34" i="6"/>
  <c r="B33" i="6"/>
  <c r="B31" i="6"/>
  <c r="B30" i="6"/>
  <c r="B29" i="6"/>
</calcChain>
</file>

<file path=xl/sharedStrings.xml><?xml version="1.0" encoding="utf-8"?>
<sst xmlns="http://schemas.openxmlformats.org/spreadsheetml/2006/main" count="43" uniqueCount="38">
  <si>
    <t>Skupina 9</t>
  </si>
  <si>
    <t>v Tis. €</t>
  </si>
  <si>
    <t>Payments</t>
  </si>
  <si>
    <t>Reserves</t>
  </si>
  <si>
    <t>Počet škôd</t>
  </si>
  <si>
    <t>Počet odhadnutých škôd (IBNR) vzniknutých v bežnom období</t>
  </si>
  <si>
    <t>Náklady na poistné plnenia bežného obdobia</t>
  </si>
  <si>
    <t>Náklady na poistné plnenia za predchádzajúce obdobia</t>
  </si>
  <si>
    <t>Likvidačný zisk/strata</t>
  </si>
  <si>
    <t xml:space="preserve">Efektívna škoda </t>
  </si>
  <si>
    <t>Škodovosť bežného obdobia</t>
  </si>
  <si>
    <t>Likvidačný zisk/strata k poistnému</t>
  </si>
  <si>
    <t>Efektívna škoda k poistnému - celková škodovosť</t>
  </si>
  <si>
    <t>Priemerná škoda bežného obdobia (incurred loss)</t>
  </si>
  <si>
    <t>Škodová frekvencia</t>
  </si>
  <si>
    <t>Priemerné poistné</t>
  </si>
  <si>
    <t>Rizikové poistné</t>
  </si>
  <si>
    <t>Priemerná vyplatená škoda</t>
  </si>
  <si>
    <t>Zaslúžené poistné za obdobie 1.1. - 31.12.2025</t>
  </si>
  <si>
    <t>Výplaty poistných plnení  (1.1.- 31.12.2025)</t>
  </si>
  <si>
    <t>za škody vzniknuté v predchádzajúcich rokov (pred 1.1.2025)</t>
  </si>
  <si>
    <t>za škody vzniknuté v bežnom roku (1.1.2025 - 31.12.2025)</t>
  </si>
  <si>
    <t>RBNS k 1.1.2025</t>
  </si>
  <si>
    <t>RBNS k 31.12.2025</t>
  </si>
  <si>
    <t>na škody vzniknuté v predchádzajúcich rokoch (pred 1.1.2025)</t>
  </si>
  <si>
    <t>na škody vzniknuté v bežnom roku (1.1.2025 - 31.12.2025)</t>
  </si>
  <si>
    <t>IBNR k 1.1.2025</t>
  </si>
  <si>
    <t>IBNR k 31.12.2025</t>
  </si>
  <si>
    <t>na škody vzniknuté v bežnom roku (1.1.2019 - 31.12.2025)</t>
  </si>
  <si>
    <t>Počet rizikových jednotiek krytých v období 1.1. - 31.12.2025</t>
  </si>
  <si>
    <t>Počet nezlikvidovaných škôd k 1.1. 2025</t>
  </si>
  <si>
    <t>Počet hlásených škôd v období  (1.1.- 31.12.2025)</t>
  </si>
  <si>
    <t xml:space="preserve"> škody vzniknuté v predchádzajúcich rokoch (pred 1.1.2025)</t>
  </si>
  <si>
    <t xml:space="preserve"> škody vzniknuté v bežnom roku (1.1.2025 - 31.12.2025)</t>
  </si>
  <si>
    <t>Počet škôd zlikvidovaných škôd v období (1.1.- 31.12. 2025)</t>
  </si>
  <si>
    <t>Rezervy k 1.1.2025</t>
  </si>
  <si>
    <t>Skúska správnosti - 1</t>
  </si>
  <si>
    <t>Skúska správnosti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</si>
</sst>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5" x14ac:knownFonts="1">
    <font>
      <sz val="10"/>
      <color theme="1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1"/>
    <xf numFmtId="43" fontId="0" fillId="0" borderId="0" xfId="2" applyFont="1" applyAlignment="1">
      <alignment horizontal="center"/>
    </xf>
    <xf numFmtId="0" fontId="1" fillId="2" borderId="2" xfId="1" applyFill="1" applyBorder="1"/>
    <xf numFmtId="164" fontId="0" fillId="0" borderId="4" xfId="2" applyNumberFormat="1" applyFont="1" applyBorder="1"/>
    <xf numFmtId="164" fontId="0" fillId="2" borderId="4" xfId="2" applyNumberFormat="1" applyFont="1" applyFill="1" applyBorder="1"/>
    <xf numFmtId="0" fontId="1" fillId="2" borderId="6" xfId="1" applyFill="1" applyBorder="1"/>
    <xf numFmtId="3" fontId="1" fillId="0" borderId="2" xfId="1" applyNumberFormat="1" applyBorder="1"/>
    <xf numFmtId="3" fontId="1" fillId="2" borderId="4" xfId="1" applyNumberFormat="1" applyFill="1" applyBorder="1"/>
    <xf numFmtId="3" fontId="1" fillId="0" borderId="4" xfId="1" applyNumberFormat="1" applyBorder="1"/>
    <xf numFmtId="3" fontId="1" fillId="0" borderId="6" xfId="1" applyNumberFormat="1" applyBorder="1"/>
    <xf numFmtId="164" fontId="0" fillId="0" borderId="0" xfId="2" applyNumberFormat="1" applyFont="1"/>
    <xf numFmtId="165" fontId="0" fillId="0" borderId="0" xfId="3" applyNumberFormat="1" applyFont="1"/>
    <xf numFmtId="164" fontId="1" fillId="0" borderId="0" xfId="1" applyNumberFormat="1"/>
    <xf numFmtId="164" fontId="0" fillId="0" borderId="9" xfId="2" applyNumberFormat="1" applyFont="1" applyBorder="1"/>
    <xf numFmtId="165" fontId="0" fillId="0" borderId="9" xfId="3" applyNumberFormat="1" applyFont="1" applyBorder="1"/>
    <xf numFmtId="165" fontId="0" fillId="0" borderId="0" xfId="3" applyNumberFormat="1" applyFont="1" applyBorder="1"/>
    <xf numFmtId="165" fontId="1" fillId="0" borderId="0" xfId="3" applyNumberFormat="1"/>
    <xf numFmtId="164" fontId="0" fillId="0" borderId="0" xfId="2" applyNumberFormat="1" applyFont="1" applyBorder="1"/>
    <xf numFmtId="0" fontId="0" fillId="2" borderId="1" xfId="0" applyFill="1" applyBorder="1"/>
    <xf numFmtId="0" fontId="0" fillId="0" borderId="3" xfId="0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4" fontId="0" fillId="0" borderId="3" xfId="0" applyNumberFormat="1" applyBorder="1" applyAlignment="1">
      <alignment horizontal="left" wrapText="1"/>
    </xf>
    <xf numFmtId="4" fontId="4" fillId="0" borderId="3" xfId="0" applyNumberFormat="1" applyFont="1" applyBorder="1" applyAlignment="1">
      <alignment horizontal="left" wrapText="1" indent="1"/>
    </xf>
    <xf numFmtId="0" fontId="0" fillId="3" borderId="3" xfId="0" applyFill="1" applyBorder="1" applyAlignment="1">
      <alignment horizontal="left" wrapText="1"/>
    </xf>
    <xf numFmtId="0" fontId="0" fillId="2" borderId="5" xfId="0" applyFill="1" applyBorder="1"/>
    <xf numFmtId="0" fontId="0" fillId="3" borderId="7" xfId="0" applyFill="1" applyBorder="1" applyAlignment="1">
      <alignment horizontal="left" wrapText="1"/>
    </xf>
    <xf numFmtId="4" fontId="2" fillId="0" borderId="3" xfId="0" applyNumberFormat="1" applyFont="1" applyBorder="1" applyAlignment="1">
      <alignment wrapText="1"/>
    </xf>
    <xf numFmtId="4" fontId="4" fillId="0" borderId="8" xfId="0" applyNumberFormat="1" applyFont="1" applyBorder="1" applyAlignment="1">
      <alignment horizontal="left" wrapText="1" indent="1"/>
    </xf>
    <xf numFmtId="4" fontId="4" fillId="0" borderId="0" xfId="0" applyNumberFormat="1" applyFont="1" applyAlignment="1">
      <alignment horizontal="left" wrapText="1" indent="1"/>
    </xf>
    <xf numFmtId="0" fontId="0" fillId="0" borderId="9" xfId="0" applyBorder="1"/>
    <xf numFmtId="0" fontId="2" fillId="0" borderId="9" xfId="0" applyFont="1" applyBorder="1"/>
    <xf numFmtId="0" fontId="2" fillId="0" borderId="0" xfId="0" applyFont="1"/>
    <xf numFmtId="43" fontId="1" fillId="0" borderId="0" xfId="2"/>
    <xf numFmtId="43" fontId="0" fillId="0" borderId="9" xfId="2" applyFont="1" applyBorder="1"/>
    <xf numFmtId="43" fontId="0" fillId="0" borderId="0" xfId="2" applyFont="1" applyBorder="1"/>
    <xf numFmtId="43" fontId="0" fillId="0" borderId="0" xfId="3" applyNumberFormat="1" applyFont="1"/>
    <xf numFmtId="165" fontId="1" fillId="0" borderId="0" xfId="1" applyNumberFormat="1"/>
  </cellXfs>
  <cellStyles count="4">
    <cellStyle name="Komma 2" xfId="2" xr:uid="{00000000-0005-0000-0000-000000000000}"/>
    <cellStyle name="Normal" xfId="0" builtinId="0"/>
    <cellStyle name="Prozent 2" xfId="3" xr:uid="{00000000-0005-0000-0000-000001000000}"/>
    <cellStyle name="Standard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topLeftCell="A25" zoomScale="115" zoomScaleNormal="115" workbookViewId="0">
      <selection activeCell="E42" sqref="E42"/>
    </sheetView>
  </sheetViews>
  <sheetFormatPr defaultColWidth="11.5546875" defaultRowHeight="13.2" x14ac:dyDescent="0.25"/>
  <cols>
    <col min="1" max="1" width="66.6640625" style="1" customWidth="1"/>
    <col min="2" max="16384" width="11.5546875" style="1"/>
  </cols>
  <sheetData>
    <row r="1" spans="1:2" ht="13.8" thickBot="1" x14ac:dyDescent="0.3">
      <c r="A1"/>
      <c r="B1" s="2" t="s">
        <v>0</v>
      </c>
    </row>
    <row r="2" spans="1:2" x14ac:dyDescent="0.25">
      <c r="A2" s="19"/>
      <c r="B2" s="3" t="s">
        <v>1</v>
      </c>
    </row>
    <row r="3" spans="1:2" x14ac:dyDescent="0.25">
      <c r="A3" s="20" t="s">
        <v>18</v>
      </c>
      <c r="B3" s="4">
        <v>4500</v>
      </c>
    </row>
    <row r="4" spans="1:2" x14ac:dyDescent="0.25">
      <c r="A4" s="21" t="s">
        <v>2</v>
      </c>
      <c r="B4" s="5"/>
    </row>
    <row r="5" spans="1:2" x14ac:dyDescent="0.25">
      <c r="A5" s="22" t="s">
        <v>19</v>
      </c>
      <c r="B5" s="4">
        <v>1700</v>
      </c>
    </row>
    <row r="6" spans="1:2" x14ac:dyDescent="0.25">
      <c r="A6" s="23" t="s">
        <v>20</v>
      </c>
      <c r="B6" s="4">
        <v>800</v>
      </c>
    </row>
    <row r="7" spans="1:2" x14ac:dyDescent="0.25">
      <c r="A7" s="23" t="s">
        <v>21</v>
      </c>
      <c r="B7" s="4">
        <v>900</v>
      </c>
    </row>
    <row r="8" spans="1:2" x14ac:dyDescent="0.25">
      <c r="A8" s="21" t="s">
        <v>3</v>
      </c>
      <c r="B8" s="5"/>
    </row>
    <row r="9" spans="1:2" x14ac:dyDescent="0.25">
      <c r="A9" s="24" t="s">
        <v>22</v>
      </c>
      <c r="B9" s="4">
        <v>2300</v>
      </c>
    </row>
    <row r="10" spans="1:2" x14ac:dyDescent="0.25">
      <c r="A10" s="24" t="s">
        <v>23</v>
      </c>
      <c r="B10" s="4">
        <v>2800</v>
      </c>
    </row>
    <row r="11" spans="1:2" x14ac:dyDescent="0.25">
      <c r="A11" s="23" t="s">
        <v>24</v>
      </c>
      <c r="B11" s="4">
        <v>1300</v>
      </c>
    </row>
    <row r="12" spans="1:2" x14ac:dyDescent="0.25">
      <c r="A12" s="23" t="s">
        <v>25</v>
      </c>
      <c r="B12" s="4">
        <v>1500</v>
      </c>
    </row>
    <row r="13" spans="1:2" x14ac:dyDescent="0.25">
      <c r="A13" s="24" t="s">
        <v>26</v>
      </c>
      <c r="B13" s="4">
        <v>1600</v>
      </c>
    </row>
    <row r="14" spans="1:2" x14ac:dyDescent="0.25">
      <c r="A14" s="24" t="s">
        <v>27</v>
      </c>
      <c r="B14" s="4">
        <v>2400</v>
      </c>
    </row>
    <row r="15" spans="1:2" x14ac:dyDescent="0.25">
      <c r="A15" s="23" t="s">
        <v>24</v>
      </c>
      <c r="B15" s="4">
        <v>1150</v>
      </c>
    </row>
    <row r="16" spans="1:2" x14ac:dyDescent="0.25">
      <c r="A16" s="23" t="s">
        <v>28</v>
      </c>
      <c r="B16" s="4">
        <v>1250</v>
      </c>
    </row>
    <row r="17" spans="1:3" ht="13.8" thickBot="1" x14ac:dyDescent="0.3">
      <c r="A17" s="25"/>
      <c r="B17" s="6"/>
    </row>
    <row r="18" spans="1:3" x14ac:dyDescent="0.25">
      <c r="A18" s="26" t="s">
        <v>29</v>
      </c>
      <c r="B18" s="7">
        <v>6000</v>
      </c>
    </row>
    <row r="19" spans="1:3" x14ac:dyDescent="0.25">
      <c r="A19" s="21" t="s">
        <v>4</v>
      </c>
      <c r="B19" s="8"/>
    </row>
    <row r="20" spans="1:3" x14ac:dyDescent="0.25">
      <c r="A20" s="24" t="s">
        <v>30</v>
      </c>
      <c r="B20" s="9">
        <v>150</v>
      </c>
    </row>
    <row r="21" spans="1:3" x14ac:dyDescent="0.25">
      <c r="A21" s="24" t="s">
        <v>31</v>
      </c>
      <c r="B21" s="9">
        <v>520</v>
      </c>
    </row>
    <row r="22" spans="1:3" x14ac:dyDescent="0.25">
      <c r="A22" s="23" t="s">
        <v>32</v>
      </c>
      <c r="B22" s="9">
        <v>50</v>
      </c>
    </row>
    <row r="23" spans="1:3" x14ac:dyDescent="0.25">
      <c r="A23" s="23" t="s">
        <v>33</v>
      </c>
      <c r="B23" s="9">
        <v>470</v>
      </c>
    </row>
    <row r="24" spans="1:3" x14ac:dyDescent="0.25">
      <c r="A24" s="27" t="s">
        <v>5</v>
      </c>
      <c r="B24" s="9">
        <v>47</v>
      </c>
    </row>
    <row r="25" spans="1:3" x14ac:dyDescent="0.25">
      <c r="A25" s="24" t="s">
        <v>34</v>
      </c>
      <c r="B25" s="9">
        <v>480</v>
      </c>
    </row>
    <row r="26" spans="1:3" x14ac:dyDescent="0.25">
      <c r="A26" s="23" t="s">
        <v>32</v>
      </c>
      <c r="B26" s="9">
        <v>120</v>
      </c>
    </row>
    <row r="27" spans="1:3" ht="13.8" thickBot="1" x14ac:dyDescent="0.3">
      <c r="A27" s="28" t="s">
        <v>33</v>
      </c>
      <c r="B27" s="10">
        <v>360</v>
      </c>
    </row>
    <row r="28" spans="1:3" x14ac:dyDescent="0.25">
      <c r="A28" s="29"/>
      <c r="B28" s="13"/>
    </row>
    <row r="29" spans="1:3" x14ac:dyDescent="0.25">
      <c r="A29" t="s">
        <v>6</v>
      </c>
      <c r="B29" s="11">
        <f>B7+B12+B16</f>
        <v>3650</v>
      </c>
      <c r="C29" s="13">
        <f>B7+B12+B16</f>
        <v>3650</v>
      </c>
    </row>
    <row r="30" spans="1:3" x14ac:dyDescent="0.25">
      <c r="A30" t="s">
        <v>7</v>
      </c>
      <c r="B30" s="11">
        <f>B6+B11+B15-(B9+B13)</f>
        <v>-650</v>
      </c>
      <c r="C30" s="13">
        <f>(B6+B11+B15)-(B9+B13)</f>
        <v>-650</v>
      </c>
    </row>
    <row r="31" spans="1:3" x14ac:dyDescent="0.25">
      <c r="A31" t="s">
        <v>35</v>
      </c>
      <c r="B31" s="11">
        <f>B9+B13</f>
        <v>3900</v>
      </c>
      <c r="C31" s="13">
        <f>B9+B13</f>
        <v>3900</v>
      </c>
    </row>
    <row r="32" spans="1:3" x14ac:dyDescent="0.25">
      <c r="A32" t="s">
        <v>8</v>
      </c>
      <c r="B32" s="11">
        <f>B30</f>
        <v>-650</v>
      </c>
      <c r="C32" s="13">
        <f>B30</f>
        <v>-650</v>
      </c>
    </row>
    <row r="33" spans="1:3" ht="13.8" thickBot="1" x14ac:dyDescent="0.3">
      <c r="A33" s="30" t="s">
        <v>9</v>
      </c>
      <c r="B33" s="14">
        <f>B29+B30</f>
        <v>3000</v>
      </c>
      <c r="C33" s="13">
        <f>B29+B30</f>
        <v>3000</v>
      </c>
    </row>
    <row r="34" spans="1:3" x14ac:dyDescent="0.25">
      <c r="A34" t="s">
        <v>10</v>
      </c>
      <c r="B34" s="12">
        <f>B29/B3</f>
        <v>0.81111111111111112</v>
      </c>
      <c r="C34" s="1">
        <f>B29/B3</f>
        <v>0.81111111111111112</v>
      </c>
    </row>
    <row r="35" spans="1:3" x14ac:dyDescent="0.25">
      <c r="A35" t="s">
        <v>11</v>
      </c>
      <c r="B35" s="12">
        <f>B32/B3</f>
        <v>-0.14444444444444443</v>
      </c>
      <c r="C35" s="1">
        <f>B32/B3</f>
        <v>-0.14444444444444443</v>
      </c>
    </row>
    <row r="36" spans="1:3" ht="13.8" thickBot="1" x14ac:dyDescent="0.3">
      <c r="A36" s="31" t="s">
        <v>12</v>
      </c>
      <c r="B36" s="15">
        <f>B33/B3</f>
        <v>0.66666666666666663</v>
      </c>
      <c r="C36" s="1">
        <f>B33/B3</f>
        <v>0.66666666666666663</v>
      </c>
    </row>
    <row r="37" spans="1:3" x14ac:dyDescent="0.25">
      <c r="A37" s="32" t="s">
        <v>36</v>
      </c>
      <c r="B37" s="16">
        <f>B34+B35-B36</f>
        <v>0</v>
      </c>
      <c r="C37" s="37">
        <f>B37</f>
        <v>0</v>
      </c>
    </row>
    <row r="38" spans="1:3" x14ac:dyDescent="0.25">
      <c r="A38" t="s">
        <v>13</v>
      </c>
      <c r="B38" s="33">
        <f>B29/(B23+B24)</f>
        <v>7.0599613152804643</v>
      </c>
      <c r="C38" s="1">
        <f>B29/(B23+B24)</f>
        <v>7.0599613152804643</v>
      </c>
    </row>
    <row r="39" spans="1:3" x14ac:dyDescent="0.25">
      <c r="A39" t="s">
        <v>14</v>
      </c>
      <c r="B39" s="17">
        <f>517/B18</f>
        <v>8.6166666666666669E-2</v>
      </c>
      <c r="C39" s="1">
        <f>(B23+B24)/B18</f>
        <v>8.6166666666666669E-2</v>
      </c>
    </row>
    <row r="40" spans="1:3" x14ac:dyDescent="0.25">
      <c r="A40" t="s">
        <v>15</v>
      </c>
      <c r="B40" s="1">
        <f>B3/B18</f>
        <v>0.75</v>
      </c>
      <c r="C40" s="1">
        <f>B3/B18</f>
        <v>0.75</v>
      </c>
    </row>
    <row r="41" spans="1:3" ht="13.8" thickBot="1" x14ac:dyDescent="0.3">
      <c r="A41" s="30" t="s">
        <v>16</v>
      </c>
      <c r="B41" s="34">
        <f>B29/B18</f>
        <v>0.60833333333333328</v>
      </c>
      <c r="C41" s="1">
        <f>B29/B18</f>
        <v>0.60833333333333328</v>
      </c>
    </row>
    <row r="42" spans="1:3" x14ac:dyDescent="0.25">
      <c r="A42"/>
      <c r="B42" s="18"/>
      <c r="C42" s="1">
        <f>B5/B25</f>
        <v>3.5416666666666665</v>
      </c>
    </row>
    <row r="43" spans="1:3" x14ac:dyDescent="0.25">
      <c r="A43" t="s">
        <v>17</v>
      </c>
      <c r="B43" s="35">
        <f>B5/B25</f>
        <v>3.5416666666666665</v>
      </c>
      <c r="C43" s="1">
        <f>B6/B26</f>
        <v>6.666666666666667</v>
      </c>
    </row>
    <row r="44" spans="1:3" x14ac:dyDescent="0.25">
      <c r="A44" s="23" t="s">
        <v>32</v>
      </c>
      <c r="B44" s="35">
        <f>B6/B26</f>
        <v>6.666666666666667</v>
      </c>
      <c r="C44" s="1">
        <f>B7/B27</f>
        <v>2.5</v>
      </c>
    </row>
    <row r="45" spans="1:3" ht="13.8" thickBot="1" x14ac:dyDescent="0.3">
      <c r="A45" s="28" t="s">
        <v>33</v>
      </c>
      <c r="B45" s="34">
        <f>B7/B27</f>
        <v>2.5</v>
      </c>
      <c r="C45" s="1">
        <f>B43-((B6+B7)/B25)</f>
        <v>0</v>
      </c>
    </row>
    <row r="46" spans="1:3" x14ac:dyDescent="0.25">
      <c r="A46" s="32" t="s">
        <v>37</v>
      </c>
      <c r="B46" s="36">
        <f>0.75*0.66</f>
        <v>0.495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6640625" defaultRowHeight="13.2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6640625" defaultRowHeight="13.2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10.6640625" defaultRowHeight="13.2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Priklad ukazovatele zadanie </vt:lpstr>
      <vt:lpstr>Tabelle1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Havlik</dc:creator>
  <cp:lastModifiedBy>Ivan Korbini</cp:lastModifiedBy>
  <dcterms:created xsi:type="dcterms:W3CDTF">2026-02-09T12:33:40Z</dcterms:created>
  <dcterms:modified xsi:type="dcterms:W3CDTF">2026-02-23T19:44:56Z</dcterms:modified>
</cp:coreProperties>
</file>